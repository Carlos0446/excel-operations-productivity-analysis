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c76386ff6850da/Desktop/Resume/Github Projects/"/>
    </mc:Choice>
  </mc:AlternateContent>
  <xr:revisionPtr revIDLastSave="1" documentId="8_{9651C1B5-B34F-429E-B89C-2687F8F054E8}" xr6:coauthVersionLast="47" xr6:coauthVersionMax="47" xr10:uidLastSave="{9074BBC9-A78E-499E-A755-67DC006E6FA0}"/>
  <bookViews>
    <workbookView xWindow="28680" yWindow="-900" windowWidth="29040" windowHeight="15720" xr2:uid="{86BD2095-7BEF-4660-B023-F33702E06253}"/>
  </bookViews>
  <sheets>
    <sheet name="Insights" sheetId="4" r:id="rId1"/>
    <sheet name="Total Labor Cost by Department" sheetId="2" r:id="rId2"/>
    <sheet name="Productivity" sheetId="3" r:id="rId3"/>
    <sheet name="Operations Data" sheetId="1" r:id="rId4"/>
  </sheets>
  <definedNames>
    <definedName name="_xlnm._FilterDatabase" localSheetId="3" hidden="1">'Operations Data'!$B$1:$B$49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sharedStrings.xml><?xml version="1.0" encoding="utf-8"?>
<sst xmlns="http://schemas.openxmlformats.org/spreadsheetml/2006/main" count="122" uniqueCount="26">
  <si>
    <t>Employee_ID</t>
  </si>
  <si>
    <t>Department</t>
  </si>
  <si>
    <t>Week</t>
  </si>
  <si>
    <t>Hours_Worked</t>
  </si>
  <si>
    <t>Tasks_Completed</t>
  </si>
  <si>
    <t>Hourly_Rate</t>
  </si>
  <si>
    <t>Operations</t>
  </si>
  <si>
    <t>Week 1</t>
  </si>
  <si>
    <t>Admin</t>
  </si>
  <si>
    <t>Support</t>
  </si>
  <si>
    <t>Finance</t>
  </si>
  <si>
    <t>Week 2</t>
  </si>
  <si>
    <t>Week 3</t>
  </si>
  <si>
    <t>Week 4</t>
  </si>
  <si>
    <t>Week 5</t>
  </si>
  <si>
    <t>Week 6</t>
  </si>
  <si>
    <t>Weekly_Pay</t>
  </si>
  <si>
    <t>Productivity_Score</t>
  </si>
  <si>
    <t>Row Labels</t>
  </si>
  <si>
    <t>Grand Total</t>
  </si>
  <si>
    <t>Total Labor Cost</t>
  </si>
  <si>
    <t>Average of Productivity_Score</t>
  </si>
  <si>
    <t>Executive Summary</t>
  </si>
  <si>
    <t>• Overall productivity across departments averages 1.12 tasks per hour.</t>
  </si>
  <si>
    <t>• Operations accounts for ~42% of total labor cost and has the highest productivity score (1.40) , indicating efficient use of labor.</t>
  </si>
  <si>
    <t>• Admin shows the lowest productivity score (0.82), suggesting potential workflow inefficiencies.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</si>
</sst>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2" fontId="1" fillId="0" borderId="0" xfId="0" applyNumberFormat="1" applyFon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Blanco" refreshedDate="46046.454154976855" createdVersion="8" refreshedVersion="8" minRefreshableVersion="3" recordCount="48" xr:uid="{245A5FEF-6C7D-49A1-B5CD-818EA3C152B8}">
  <cacheSource type="worksheet">
    <worksheetSource ref="A1:H49" sheet="Operations Data"/>
  </cacheSource>
  <cacheFields count="8">
    <cacheField name="Employee_ID" numFmtId="0">
      <sharedItems containsSemiMixedTypes="0" containsString="0" containsNumber="1" containsInteger="1" minValue="101" maxValue="108"/>
    </cacheField>
    <cacheField name="Department" numFmtId="0">
      <sharedItems containsBlank="1" count="5">
        <s v="Operations"/>
        <s v="Admin"/>
        <s v="Support"/>
        <s v="Finance"/>
        <m u="1"/>
      </sharedItems>
    </cacheField>
    <cacheField name="Week" numFmtId="0">
      <sharedItems/>
    </cacheField>
    <cacheField name="Hours_Worked" numFmtId="0">
      <sharedItems containsSemiMixedTypes="0" containsString="0" containsNumber="1" containsInteger="1" minValue="38" maxValue="50"/>
    </cacheField>
    <cacheField name="Tasks_Completed" numFmtId="0">
      <sharedItems containsSemiMixedTypes="0" containsString="0" containsNumber="1" containsInteger="1" minValue="30" maxValue="72"/>
    </cacheField>
    <cacheField name="Hourly_Rate" numFmtId="0">
      <sharedItems containsSemiMixedTypes="0" containsString="0" containsNumber="1" containsInteger="1" minValue="22" maxValue="28"/>
    </cacheField>
    <cacheField name="Weekly_Pay" numFmtId="0">
      <sharedItems containsSemiMixedTypes="0" containsString="0" containsNumber="1" containsInteger="1" minValue="880" maxValue="1300"/>
    </cacheField>
    <cacheField name="Productivity_Score" numFmtId="2">
      <sharedItems containsSemiMixedTypes="0" containsString="0" containsNumber="1" minValue="0.75" maxValue="1.44" count="37">
        <n v="1.3809523809523809"/>
        <n v="0.8"/>
        <n v="1.0526315789473684"/>
        <n v="0.85365853658536583"/>
        <n v="1.3777777777777778"/>
        <n v="1.0769230769230769"/>
        <n v="0.75"/>
        <n v="1.3636363636363635"/>
        <n v="1.3720930232558139"/>
        <n v="0.80487804878048785"/>
        <n v="1.1000000000000001"/>
        <n v="0.8571428571428571"/>
        <n v="1.4130434782608696"/>
        <n v="1.125"/>
        <n v="0.75609756097560976"/>
        <n v="1.4"/>
        <n v="1.3863636363636365"/>
        <n v="0.85"/>
        <n v="1.1025641025641026"/>
        <n v="0.90243902439024393"/>
        <n v="1.425531914893617"/>
        <n v="1.1219512195121952"/>
        <n v="1.3913043478260869"/>
        <n v="0.90476190476190477"/>
        <n v="1.4375"/>
        <n v="1.1190476190476191"/>
        <n v="1.4042553191489362"/>
        <n v="0.9"/>
        <n v="0.90697674418604646"/>
        <n v="1.4285714285714286"/>
        <n v="1.1162790697674418"/>
        <n v="0.80952380952380953"/>
        <n v="1.4166666666666667"/>
        <n v="0.90909090909090906"/>
        <n v="1.44"/>
        <n v="1.1136363636363635"/>
        <n v="1.40816326530612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01"/>
    <x v="0"/>
    <s v="Week 1"/>
    <n v="42"/>
    <n v="58"/>
    <n v="26"/>
    <n v="1092"/>
    <x v="0"/>
  </r>
  <r>
    <n v="102"/>
    <x v="1"/>
    <s v="Week 1"/>
    <n v="40"/>
    <n v="32"/>
    <n v="22"/>
    <n v="880"/>
    <x v="1"/>
  </r>
  <r>
    <n v="103"/>
    <x v="2"/>
    <s v="Week 1"/>
    <n v="38"/>
    <n v="40"/>
    <n v="24"/>
    <n v="912"/>
    <x v="2"/>
  </r>
  <r>
    <n v="104"/>
    <x v="3"/>
    <s v="Week 1"/>
    <n v="41"/>
    <n v="35"/>
    <n v="28"/>
    <n v="1148"/>
    <x v="3"/>
  </r>
  <r>
    <n v="105"/>
    <x v="0"/>
    <s v="Week 1"/>
    <n v="45"/>
    <n v="62"/>
    <n v="26"/>
    <n v="1170"/>
    <x v="4"/>
  </r>
  <r>
    <n v="106"/>
    <x v="2"/>
    <s v="Week 1"/>
    <n v="39"/>
    <n v="42"/>
    <n v="24"/>
    <n v="936"/>
    <x v="5"/>
  </r>
  <r>
    <n v="107"/>
    <x v="1"/>
    <s v="Week 1"/>
    <n v="40"/>
    <n v="30"/>
    <n v="22"/>
    <n v="880"/>
    <x v="6"/>
  </r>
  <r>
    <n v="108"/>
    <x v="0"/>
    <s v="Week 1"/>
    <n v="44"/>
    <n v="60"/>
    <n v="26"/>
    <n v="1144"/>
    <x v="7"/>
  </r>
  <r>
    <n v="101"/>
    <x v="0"/>
    <s v="Week 2"/>
    <n v="43"/>
    <n v="59"/>
    <n v="26"/>
    <n v="1118"/>
    <x v="8"/>
  </r>
  <r>
    <n v="102"/>
    <x v="1"/>
    <s v="Week 2"/>
    <n v="41"/>
    <n v="33"/>
    <n v="22"/>
    <n v="902"/>
    <x v="9"/>
  </r>
  <r>
    <n v="103"/>
    <x v="2"/>
    <s v="Week 2"/>
    <n v="40"/>
    <n v="44"/>
    <n v="24"/>
    <n v="960"/>
    <x v="10"/>
  </r>
  <r>
    <n v="104"/>
    <x v="3"/>
    <s v="Week 2"/>
    <n v="42"/>
    <n v="36"/>
    <n v="28"/>
    <n v="1176"/>
    <x v="11"/>
  </r>
  <r>
    <n v="105"/>
    <x v="0"/>
    <s v="Week 2"/>
    <n v="46"/>
    <n v="65"/>
    <n v="26"/>
    <n v="1196"/>
    <x v="12"/>
  </r>
  <r>
    <n v="106"/>
    <x v="2"/>
    <s v="Week 2"/>
    <n v="40"/>
    <n v="45"/>
    <n v="24"/>
    <n v="960"/>
    <x v="13"/>
  </r>
  <r>
    <n v="107"/>
    <x v="1"/>
    <s v="Week 2"/>
    <n v="41"/>
    <n v="31"/>
    <n v="22"/>
    <n v="902"/>
    <x v="14"/>
  </r>
  <r>
    <n v="108"/>
    <x v="0"/>
    <s v="Week 2"/>
    <n v="45"/>
    <n v="63"/>
    <n v="26"/>
    <n v="1170"/>
    <x v="15"/>
  </r>
  <r>
    <n v="101"/>
    <x v="0"/>
    <s v="Week 3"/>
    <n v="44"/>
    <n v="61"/>
    <n v="26"/>
    <n v="1144"/>
    <x v="16"/>
  </r>
  <r>
    <n v="102"/>
    <x v="1"/>
    <s v="Week 3"/>
    <n v="40"/>
    <n v="34"/>
    <n v="22"/>
    <n v="880"/>
    <x v="17"/>
  </r>
  <r>
    <n v="103"/>
    <x v="2"/>
    <s v="Week 3"/>
    <n v="39"/>
    <n v="43"/>
    <n v="24"/>
    <n v="936"/>
    <x v="18"/>
  </r>
  <r>
    <n v="104"/>
    <x v="3"/>
    <s v="Week 3"/>
    <n v="41"/>
    <n v="37"/>
    <n v="28"/>
    <n v="1148"/>
    <x v="19"/>
  </r>
  <r>
    <n v="105"/>
    <x v="0"/>
    <s v="Week 3"/>
    <n v="47"/>
    <n v="67"/>
    <n v="26"/>
    <n v="1222"/>
    <x v="20"/>
  </r>
  <r>
    <n v="106"/>
    <x v="2"/>
    <s v="Week 3"/>
    <n v="41"/>
    <n v="46"/>
    <n v="24"/>
    <n v="984"/>
    <x v="21"/>
  </r>
  <r>
    <n v="107"/>
    <x v="1"/>
    <s v="Week 3"/>
    <n v="40"/>
    <n v="32"/>
    <n v="22"/>
    <n v="880"/>
    <x v="1"/>
  </r>
  <r>
    <n v="108"/>
    <x v="0"/>
    <s v="Week 3"/>
    <n v="46"/>
    <n v="64"/>
    <n v="26"/>
    <n v="1196"/>
    <x v="22"/>
  </r>
  <r>
    <n v="101"/>
    <x v="0"/>
    <s v="Week 4"/>
    <n v="45"/>
    <n v="63"/>
    <n v="26"/>
    <n v="1170"/>
    <x v="15"/>
  </r>
  <r>
    <n v="102"/>
    <x v="1"/>
    <s v="Week 4"/>
    <n v="41"/>
    <n v="35"/>
    <n v="22"/>
    <n v="902"/>
    <x v="3"/>
  </r>
  <r>
    <n v="103"/>
    <x v="2"/>
    <s v="Week 4"/>
    <n v="40"/>
    <n v="45"/>
    <n v="24"/>
    <n v="960"/>
    <x v="13"/>
  </r>
  <r>
    <n v="104"/>
    <x v="3"/>
    <s v="Week 4"/>
    <n v="42"/>
    <n v="38"/>
    <n v="28"/>
    <n v="1176"/>
    <x v="23"/>
  </r>
  <r>
    <n v="105"/>
    <x v="0"/>
    <s v="Week 4"/>
    <n v="48"/>
    <n v="69"/>
    <n v="26"/>
    <n v="1248"/>
    <x v="24"/>
  </r>
  <r>
    <n v="106"/>
    <x v="2"/>
    <s v="Week 4"/>
    <n v="42"/>
    <n v="47"/>
    <n v="24"/>
    <n v="1008"/>
    <x v="25"/>
  </r>
  <r>
    <n v="107"/>
    <x v="1"/>
    <s v="Week 4"/>
    <n v="41"/>
    <n v="33"/>
    <n v="22"/>
    <n v="902"/>
    <x v="9"/>
  </r>
  <r>
    <n v="108"/>
    <x v="0"/>
    <s v="Week 4"/>
    <n v="47"/>
    <n v="66"/>
    <n v="26"/>
    <n v="1222"/>
    <x v="26"/>
  </r>
  <r>
    <n v="101"/>
    <x v="0"/>
    <s v="Week 5"/>
    <n v="46"/>
    <n v="64"/>
    <n v="26"/>
    <n v="1196"/>
    <x v="22"/>
  </r>
  <r>
    <n v="102"/>
    <x v="1"/>
    <s v="Week 5"/>
    <n v="40"/>
    <n v="36"/>
    <n v="22"/>
    <n v="880"/>
    <x v="27"/>
  </r>
  <r>
    <n v="103"/>
    <x v="2"/>
    <s v="Week 5"/>
    <n v="41"/>
    <n v="46"/>
    <n v="24"/>
    <n v="984"/>
    <x v="21"/>
  </r>
  <r>
    <n v="104"/>
    <x v="3"/>
    <s v="Week 5"/>
    <n v="43"/>
    <n v="39"/>
    <n v="28"/>
    <n v="1204"/>
    <x v="28"/>
  </r>
  <r>
    <n v="105"/>
    <x v="0"/>
    <s v="Week 5"/>
    <n v="49"/>
    <n v="70"/>
    <n v="26"/>
    <n v="1274"/>
    <x v="29"/>
  </r>
  <r>
    <n v="106"/>
    <x v="2"/>
    <s v="Week 5"/>
    <n v="43"/>
    <n v="48"/>
    <n v="24"/>
    <n v="1032"/>
    <x v="30"/>
  </r>
  <r>
    <n v="107"/>
    <x v="1"/>
    <s v="Week 5"/>
    <n v="42"/>
    <n v="34"/>
    <n v="22"/>
    <n v="924"/>
    <x v="31"/>
  </r>
  <r>
    <n v="108"/>
    <x v="0"/>
    <s v="Week 5"/>
    <n v="48"/>
    <n v="68"/>
    <n v="26"/>
    <n v="1248"/>
    <x v="32"/>
  </r>
  <r>
    <n v="101"/>
    <x v="0"/>
    <s v="Week 6"/>
    <n v="47"/>
    <n v="66"/>
    <n v="26"/>
    <n v="1222"/>
    <x v="26"/>
  </r>
  <r>
    <n v="102"/>
    <x v="1"/>
    <s v="Week 6"/>
    <n v="41"/>
    <n v="37"/>
    <n v="22"/>
    <n v="902"/>
    <x v="19"/>
  </r>
  <r>
    <n v="103"/>
    <x v="2"/>
    <s v="Week 6"/>
    <n v="42"/>
    <n v="47"/>
    <n v="24"/>
    <n v="1008"/>
    <x v="25"/>
  </r>
  <r>
    <n v="104"/>
    <x v="3"/>
    <s v="Week 6"/>
    <n v="44"/>
    <n v="40"/>
    <n v="28"/>
    <n v="1232"/>
    <x v="33"/>
  </r>
  <r>
    <n v="105"/>
    <x v="0"/>
    <s v="Week 6"/>
    <n v="50"/>
    <n v="72"/>
    <n v="26"/>
    <n v="1300"/>
    <x v="34"/>
  </r>
  <r>
    <n v="106"/>
    <x v="2"/>
    <s v="Week 6"/>
    <n v="44"/>
    <n v="49"/>
    <n v="24"/>
    <n v="1056"/>
    <x v="35"/>
  </r>
  <r>
    <n v="107"/>
    <x v="1"/>
    <s v="Week 6"/>
    <n v="41"/>
    <n v="35"/>
    <n v="22"/>
    <n v="902"/>
    <x v="3"/>
  </r>
  <r>
    <n v="108"/>
    <x v="0"/>
    <s v="Week 6"/>
    <n v="49"/>
    <n v="69"/>
    <n v="26"/>
    <n v="1274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CE2CB-57D6-42C4-90BC-30861342F9A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6">
        <item x="1"/>
        <item x="3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Labor Cost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0756F-C548-4377-A5B9-A8C9080D799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6">
        <item x="1"/>
        <item x="3"/>
        <item x="0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dataField="1" numFmtId="2" showAll="0">
      <items count="38">
        <item x="6"/>
        <item x="14"/>
        <item x="1"/>
        <item x="9"/>
        <item x="31"/>
        <item x="17"/>
        <item x="3"/>
        <item x="11"/>
        <item x="27"/>
        <item x="19"/>
        <item x="23"/>
        <item x="28"/>
        <item x="33"/>
        <item x="2"/>
        <item x="5"/>
        <item x="10"/>
        <item x="18"/>
        <item x="35"/>
        <item x="30"/>
        <item x="25"/>
        <item x="21"/>
        <item x="13"/>
        <item x="7"/>
        <item x="8"/>
        <item x="4"/>
        <item x="0"/>
        <item x="16"/>
        <item x="22"/>
        <item x="15"/>
        <item x="26"/>
        <item x="36"/>
        <item x="12"/>
        <item x="32"/>
        <item x="20"/>
        <item x="29"/>
        <item x="24"/>
        <item x="3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vity_Score" fld="7" subtotal="average" baseField="1" baseItem="0" numFmtId="2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310-1EB3-4DEA-A4D3-E7E769A0F97E}">
  <dimension ref="A1:A5"/>
  <sheetViews>
    <sheetView tabSelected="1" workbookViewId="0">
      <selection activeCell="F29" sqref="F29"/>
    </sheetView>
  </sheetViews>
  <sheetFormatPr defaultRowHeight="15" x14ac:dyDescent="0.25"/>
  <cols>
    <col min="1" max="1" width="113.140625" customWidth="1"/>
  </cols>
  <sheetData>
    <row r="1" spans="1:1" ht="21" x14ac:dyDescent="0.35">
      <c r="A1" s="6" t="s">
        <v>22</v>
      </c>
    </row>
    <row r="3" spans="1:1" s="7" customFormat="1" ht="30" x14ac:dyDescent="0.25">
      <c r="A3" s="8" t="s">
        <v>24</v>
      </c>
    </row>
    <row r="4" spans="1:1" s="7" customFormat="1" x14ac:dyDescent="0.25">
      <c r="A4" s="8" t="s">
        <v>25</v>
      </c>
    </row>
    <row r="5" spans="1:1" s="7" customFormat="1" x14ac:dyDescent="0.25">
      <c r="A5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4DEF-FFF8-4533-B308-D5184BE8C6D2}">
  <dimension ref="A3:B8"/>
  <sheetViews>
    <sheetView workbookViewId="0">
      <selection activeCell="G25" sqref="G25"/>
    </sheetView>
  </sheetViews>
  <sheetFormatPr defaultRowHeight="15" x14ac:dyDescent="0.25"/>
  <cols>
    <col min="1" max="1" width="13.42578125" bestFit="1" customWidth="1"/>
    <col min="2" max="2" width="15.7109375" bestFit="1" customWidth="1"/>
  </cols>
  <sheetData>
    <row r="3" spans="1:2" x14ac:dyDescent="0.25">
      <c r="A3" s="2" t="s">
        <v>18</v>
      </c>
      <c r="B3" t="s">
        <v>20</v>
      </c>
    </row>
    <row r="4" spans="1:2" x14ac:dyDescent="0.25">
      <c r="A4" s="3" t="s">
        <v>8</v>
      </c>
      <c r="B4" s="4">
        <v>10736</v>
      </c>
    </row>
    <row r="5" spans="1:2" x14ac:dyDescent="0.25">
      <c r="A5" s="3" t="s">
        <v>10</v>
      </c>
      <c r="B5" s="4">
        <v>7084</v>
      </c>
    </row>
    <row r="6" spans="1:2" x14ac:dyDescent="0.25">
      <c r="A6" s="3" t="s">
        <v>6</v>
      </c>
      <c r="B6" s="4">
        <v>21606</v>
      </c>
    </row>
    <row r="7" spans="1:2" x14ac:dyDescent="0.25">
      <c r="A7" s="3" t="s">
        <v>9</v>
      </c>
      <c r="B7" s="4">
        <v>11736</v>
      </c>
    </row>
    <row r="8" spans="1:2" x14ac:dyDescent="0.25">
      <c r="A8" s="3" t="s">
        <v>19</v>
      </c>
      <c r="B8" s="4">
        <v>51162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867E-BBC5-4AFC-B7B1-B6BEA58376B7}">
  <dimension ref="A3:B8"/>
  <sheetViews>
    <sheetView workbookViewId="0">
      <selection activeCell="C37" sqref="C37"/>
    </sheetView>
  </sheetViews>
  <sheetFormatPr defaultRowHeight="15" x14ac:dyDescent="0.25"/>
  <cols>
    <col min="1" max="1" width="13.42578125" bestFit="1" customWidth="1"/>
    <col min="2" max="2" width="28.28515625" bestFit="1" customWidth="1"/>
  </cols>
  <sheetData>
    <row r="3" spans="1:2" x14ac:dyDescent="0.25">
      <c r="A3" s="2" t="s">
        <v>18</v>
      </c>
      <c r="B3" s="1" t="s">
        <v>21</v>
      </c>
    </row>
    <row r="4" spans="1:2" x14ac:dyDescent="0.25">
      <c r="A4" s="3" t="s">
        <v>8</v>
      </c>
      <c r="B4" s="1">
        <v>0.82376113046844768</v>
      </c>
    </row>
    <row r="5" spans="1:2" x14ac:dyDescent="0.25">
      <c r="A5" s="3" t="s">
        <v>10</v>
      </c>
      <c r="B5" s="1">
        <v>0.88901166269288778</v>
      </c>
    </row>
    <row r="6" spans="1:2" x14ac:dyDescent="0.25">
      <c r="A6" s="3" t="s">
        <v>6</v>
      </c>
      <c r="B6" s="1">
        <v>1.4023010705352623</v>
      </c>
    </row>
    <row r="7" spans="1:2" x14ac:dyDescent="0.25">
      <c r="A7" s="3" t="s">
        <v>9</v>
      </c>
      <c r="B7" s="1">
        <v>1.1078359890798319</v>
      </c>
    </row>
    <row r="8" spans="1:2" x14ac:dyDescent="0.25">
      <c r="A8" s="3" t="s">
        <v>19</v>
      </c>
      <c r="B8" s="1">
        <v>1.1198886391744047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28FE-4559-4EED-A8F3-2B0531B82FF4}">
  <dimension ref="A1:H49"/>
  <sheetViews>
    <sheetView workbookViewId="0">
      <selection activeCell="E37" sqref="E37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7.140625" bestFit="1" customWidth="1"/>
    <col min="4" max="4" width="14" bestFit="1" customWidth="1"/>
    <col min="5" max="5" width="16.5703125" bestFit="1" customWidth="1"/>
    <col min="6" max="6" width="11.42578125" bestFit="1" customWidth="1"/>
    <col min="7" max="7" width="11.140625" bestFit="1" customWidth="1"/>
    <col min="8" max="8" width="17.28515625" style="1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16</v>
      </c>
      <c r="H1" s="9" t="s">
        <v>17</v>
      </c>
    </row>
    <row r="2" spans="1:8" x14ac:dyDescent="0.25">
      <c r="A2">
        <v>101</v>
      </c>
      <c r="B2" t="s">
        <v>6</v>
      </c>
      <c r="C2" t="s">
        <v>7</v>
      </c>
      <c r="D2">
        <v>42</v>
      </c>
      <c r="E2">
        <v>58</v>
      </c>
      <c r="F2">
        <v>26</v>
      </c>
      <c r="G2">
        <f>D2 * F2</f>
        <v>1092</v>
      </c>
      <c r="H2" s="1">
        <f>E2 / D2</f>
        <v>1.3809523809523809</v>
      </c>
    </row>
    <row r="3" spans="1:8" x14ac:dyDescent="0.25">
      <c r="A3">
        <v>102</v>
      </c>
      <c r="B3" t="s">
        <v>8</v>
      </c>
      <c r="C3" t="s">
        <v>7</v>
      </c>
      <c r="D3">
        <v>40</v>
      </c>
      <c r="E3">
        <v>32</v>
      </c>
      <c r="F3">
        <v>22</v>
      </c>
      <c r="G3">
        <f t="shared" ref="G3:G49" si="0">D3 * F3</f>
        <v>880</v>
      </c>
      <c r="H3" s="1">
        <f t="shared" ref="H3:H49" si="1">E3 / D3</f>
        <v>0.8</v>
      </c>
    </row>
    <row r="4" spans="1:8" x14ac:dyDescent="0.25">
      <c r="A4">
        <v>103</v>
      </c>
      <c r="B4" t="s">
        <v>9</v>
      </c>
      <c r="C4" t="s">
        <v>7</v>
      </c>
      <c r="D4">
        <v>38</v>
      </c>
      <c r="E4">
        <v>40</v>
      </c>
      <c r="F4">
        <v>24</v>
      </c>
      <c r="G4">
        <f t="shared" si="0"/>
        <v>912</v>
      </c>
      <c r="H4" s="1">
        <f t="shared" si="1"/>
        <v>1.0526315789473684</v>
      </c>
    </row>
    <row r="5" spans="1:8" x14ac:dyDescent="0.25">
      <c r="A5">
        <v>104</v>
      </c>
      <c r="B5" t="s">
        <v>10</v>
      </c>
      <c r="C5" t="s">
        <v>7</v>
      </c>
      <c r="D5">
        <v>41</v>
      </c>
      <c r="E5">
        <v>35</v>
      </c>
      <c r="F5">
        <v>28</v>
      </c>
      <c r="G5">
        <f t="shared" si="0"/>
        <v>1148</v>
      </c>
      <c r="H5" s="1">
        <f t="shared" si="1"/>
        <v>0.85365853658536583</v>
      </c>
    </row>
    <row r="6" spans="1:8" x14ac:dyDescent="0.25">
      <c r="A6">
        <v>105</v>
      </c>
      <c r="B6" t="s">
        <v>6</v>
      </c>
      <c r="C6" t="s">
        <v>7</v>
      </c>
      <c r="D6">
        <v>45</v>
      </c>
      <c r="E6">
        <v>62</v>
      </c>
      <c r="F6">
        <v>26</v>
      </c>
      <c r="G6">
        <f t="shared" si="0"/>
        <v>1170</v>
      </c>
      <c r="H6" s="1">
        <f t="shared" si="1"/>
        <v>1.3777777777777778</v>
      </c>
    </row>
    <row r="7" spans="1:8" x14ac:dyDescent="0.25">
      <c r="A7">
        <v>106</v>
      </c>
      <c r="B7" t="s">
        <v>9</v>
      </c>
      <c r="C7" t="s">
        <v>7</v>
      </c>
      <c r="D7">
        <v>39</v>
      </c>
      <c r="E7">
        <v>42</v>
      </c>
      <c r="F7">
        <v>24</v>
      </c>
      <c r="G7">
        <f t="shared" si="0"/>
        <v>936</v>
      </c>
      <c r="H7" s="1">
        <f t="shared" si="1"/>
        <v>1.0769230769230769</v>
      </c>
    </row>
    <row r="8" spans="1:8" x14ac:dyDescent="0.25">
      <c r="A8">
        <v>107</v>
      </c>
      <c r="B8" t="s">
        <v>8</v>
      </c>
      <c r="C8" t="s">
        <v>7</v>
      </c>
      <c r="D8">
        <v>40</v>
      </c>
      <c r="E8">
        <v>30</v>
      </c>
      <c r="F8">
        <v>22</v>
      </c>
      <c r="G8">
        <f t="shared" si="0"/>
        <v>880</v>
      </c>
      <c r="H8" s="1">
        <f t="shared" si="1"/>
        <v>0.75</v>
      </c>
    </row>
    <row r="9" spans="1:8" x14ac:dyDescent="0.25">
      <c r="A9">
        <v>108</v>
      </c>
      <c r="B9" t="s">
        <v>6</v>
      </c>
      <c r="C9" t="s">
        <v>7</v>
      </c>
      <c r="D9">
        <v>44</v>
      </c>
      <c r="E9">
        <v>60</v>
      </c>
      <c r="F9">
        <v>26</v>
      </c>
      <c r="G9">
        <f t="shared" si="0"/>
        <v>1144</v>
      </c>
      <c r="H9" s="1">
        <f t="shared" si="1"/>
        <v>1.3636363636363635</v>
      </c>
    </row>
    <row r="10" spans="1:8" x14ac:dyDescent="0.25">
      <c r="A10">
        <v>101</v>
      </c>
      <c r="B10" t="s">
        <v>6</v>
      </c>
      <c r="C10" t="s">
        <v>11</v>
      </c>
      <c r="D10">
        <v>43</v>
      </c>
      <c r="E10">
        <v>59</v>
      </c>
      <c r="F10">
        <v>26</v>
      </c>
      <c r="G10">
        <f t="shared" si="0"/>
        <v>1118</v>
      </c>
      <c r="H10" s="1">
        <f t="shared" si="1"/>
        <v>1.3720930232558139</v>
      </c>
    </row>
    <row r="11" spans="1:8" x14ac:dyDescent="0.25">
      <c r="A11">
        <v>102</v>
      </c>
      <c r="B11" t="s">
        <v>8</v>
      </c>
      <c r="C11" t="s">
        <v>11</v>
      </c>
      <c r="D11">
        <v>41</v>
      </c>
      <c r="E11">
        <v>33</v>
      </c>
      <c r="F11">
        <v>22</v>
      </c>
      <c r="G11">
        <f t="shared" si="0"/>
        <v>902</v>
      </c>
      <c r="H11" s="1">
        <f t="shared" si="1"/>
        <v>0.80487804878048785</v>
      </c>
    </row>
    <row r="12" spans="1:8" x14ac:dyDescent="0.25">
      <c r="A12">
        <v>103</v>
      </c>
      <c r="B12" t="s">
        <v>9</v>
      </c>
      <c r="C12" t="s">
        <v>11</v>
      </c>
      <c r="D12">
        <v>40</v>
      </c>
      <c r="E12">
        <v>44</v>
      </c>
      <c r="F12">
        <v>24</v>
      </c>
      <c r="G12">
        <f t="shared" si="0"/>
        <v>960</v>
      </c>
      <c r="H12" s="1">
        <f t="shared" si="1"/>
        <v>1.1000000000000001</v>
      </c>
    </row>
    <row r="13" spans="1:8" x14ac:dyDescent="0.25">
      <c r="A13">
        <v>104</v>
      </c>
      <c r="B13" t="s">
        <v>10</v>
      </c>
      <c r="C13" t="s">
        <v>11</v>
      </c>
      <c r="D13">
        <v>42</v>
      </c>
      <c r="E13">
        <v>36</v>
      </c>
      <c r="F13">
        <v>28</v>
      </c>
      <c r="G13">
        <f t="shared" si="0"/>
        <v>1176</v>
      </c>
      <c r="H13" s="1">
        <f t="shared" si="1"/>
        <v>0.8571428571428571</v>
      </c>
    </row>
    <row r="14" spans="1:8" x14ac:dyDescent="0.25">
      <c r="A14">
        <v>105</v>
      </c>
      <c r="B14" t="s">
        <v>6</v>
      </c>
      <c r="C14" t="s">
        <v>11</v>
      </c>
      <c r="D14">
        <v>46</v>
      </c>
      <c r="E14">
        <v>65</v>
      </c>
      <c r="F14">
        <v>26</v>
      </c>
      <c r="G14">
        <f t="shared" si="0"/>
        <v>1196</v>
      </c>
      <c r="H14" s="1">
        <f t="shared" si="1"/>
        <v>1.4130434782608696</v>
      </c>
    </row>
    <row r="15" spans="1:8" x14ac:dyDescent="0.25">
      <c r="A15">
        <v>106</v>
      </c>
      <c r="B15" t="s">
        <v>9</v>
      </c>
      <c r="C15" t="s">
        <v>11</v>
      </c>
      <c r="D15">
        <v>40</v>
      </c>
      <c r="E15">
        <v>45</v>
      </c>
      <c r="F15">
        <v>24</v>
      </c>
      <c r="G15">
        <f t="shared" si="0"/>
        <v>960</v>
      </c>
      <c r="H15" s="1">
        <f t="shared" si="1"/>
        <v>1.125</v>
      </c>
    </row>
    <row r="16" spans="1:8" x14ac:dyDescent="0.25">
      <c r="A16">
        <v>107</v>
      </c>
      <c r="B16" t="s">
        <v>8</v>
      </c>
      <c r="C16" t="s">
        <v>11</v>
      </c>
      <c r="D16">
        <v>41</v>
      </c>
      <c r="E16">
        <v>31</v>
      </c>
      <c r="F16">
        <v>22</v>
      </c>
      <c r="G16">
        <f t="shared" si="0"/>
        <v>902</v>
      </c>
      <c r="H16" s="1">
        <f t="shared" si="1"/>
        <v>0.75609756097560976</v>
      </c>
    </row>
    <row r="17" spans="1:8" x14ac:dyDescent="0.25">
      <c r="A17">
        <v>108</v>
      </c>
      <c r="B17" t="s">
        <v>6</v>
      </c>
      <c r="C17" t="s">
        <v>11</v>
      </c>
      <c r="D17">
        <v>45</v>
      </c>
      <c r="E17">
        <v>63</v>
      </c>
      <c r="F17">
        <v>26</v>
      </c>
      <c r="G17">
        <f t="shared" si="0"/>
        <v>1170</v>
      </c>
      <c r="H17" s="1">
        <f t="shared" si="1"/>
        <v>1.4</v>
      </c>
    </row>
    <row r="18" spans="1:8" x14ac:dyDescent="0.25">
      <c r="A18">
        <v>101</v>
      </c>
      <c r="B18" t="s">
        <v>6</v>
      </c>
      <c r="C18" t="s">
        <v>12</v>
      </c>
      <c r="D18">
        <v>44</v>
      </c>
      <c r="E18">
        <v>61</v>
      </c>
      <c r="F18">
        <v>26</v>
      </c>
      <c r="G18">
        <f t="shared" si="0"/>
        <v>1144</v>
      </c>
      <c r="H18" s="1">
        <f t="shared" si="1"/>
        <v>1.3863636363636365</v>
      </c>
    </row>
    <row r="19" spans="1:8" x14ac:dyDescent="0.25">
      <c r="A19">
        <v>102</v>
      </c>
      <c r="B19" t="s">
        <v>8</v>
      </c>
      <c r="C19" t="s">
        <v>12</v>
      </c>
      <c r="D19">
        <v>40</v>
      </c>
      <c r="E19">
        <v>34</v>
      </c>
      <c r="F19">
        <v>22</v>
      </c>
      <c r="G19">
        <f t="shared" si="0"/>
        <v>880</v>
      </c>
      <c r="H19" s="1">
        <f t="shared" si="1"/>
        <v>0.85</v>
      </c>
    </row>
    <row r="20" spans="1:8" x14ac:dyDescent="0.25">
      <c r="A20">
        <v>103</v>
      </c>
      <c r="B20" t="s">
        <v>9</v>
      </c>
      <c r="C20" t="s">
        <v>12</v>
      </c>
      <c r="D20">
        <v>39</v>
      </c>
      <c r="E20">
        <v>43</v>
      </c>
      <c r="F20">
        <v>24</v>
      </c>
      <c r="G20">
        <f t="shared" si="0"/>
        <v>936</v>
      </c>
      <c r="H20" s="1">
        <f t="shared" si="1"/>
        <v>1.1025641025641026</v>
      </c>
    </row>
    <row r="21" spans="1:8" x14ac:dyDescent="0.25">
      <c r="A21">
        <v>104</v>
      </c>
      <c r="B21" t="s">
        <v>10</v>
      </c>
      <c r="C21" t="s">
        <v>12</v>
      </c>
      <c r="D21">
        <v>41</v>
      </c>
      <c r="E21">
        <v>37</v>
      </c>
      <c r="F21">
        <v>28</v>
      </c>
      <c r="G21">
        <f t="shared" si="0"/>
        <v>1148</v>
      </c>
      <c r="H21" s="1">
        <f t="shared" si="1"/>
        <v>0.90243902439024393</v>
      </c>
    </row>
    <row r="22" spans="1:8" x14ac:dyDescent="0.25">
      <c r="A22">
        <v>105</v>
      </c>
      <c r="B22" t="s">
        <v>6</v>
      </c>
      <c r="C22" t="s">
        <v>12</v>
      </c>
      <c r="D22">
        <v>47</v>
      </c>
      <c r="E22">
        <v>67</v>
      </c>
      <c r="F22">
        <v>26</v>
      </c>
      <c r="G22">
        <f t="shared" si="0"/>
        <v>1222</v>
      </c>
      <c r="H22" s="1">
        <f t="shared" si="1"/>
        <v>1.425531914893617</v>
      </c>
    </row>
    <row r="23" spans="1:8" x14ac:dyDescent="0.25">
      <c r="A23">
        <v>106</v>
      </c>
      <c r="B23" t="s">
        <v>9</v>
      </c>
      <c r="C23" t="s">
        <v>12</v>
      </c>
      <c r="D23">
        <v>41</v>
      </c>
      <c r="E23">
        <v>46</v>
      </c>
      <c r="F23">
        <v>24</v>
      </c>
      <c r="G23">
        <f t="shared" si="0"/>
        <v>984</v>
      </c>
      <c r="H23" s="1">
        <f t="shared" si="1"/>
        <v>1.1219512195121952</v>
      </c>
    </row>
    <row r="24" spans="1:8" x14ac:dyDescent="0.25">
      <c r="A24">
        <v>107</v>
      </c>
      <c r="B24" t="s">
        <v>8</v>
      </c>
      <c r="C24" t="s">
        <v>12</v>
      </c>
      <c r="D24">
        <v>40</v>
      </c>
      <c r="E24">
        <v>32</v>
      </c>
      <c r="F24">
        <v>22</v>
      </c>
      <c r="G24">
        <f t="shared" si="0"/>
        <v>880</v>
      </c>
      <c r="H24" s="1">
        <f t="shared" si="1"/>
        <v>0.8</v>
      </c>
    </row>
    <row r="25" spans="1:8" x14ac:dyDescent="0.25">
      <c r="A25">
        <v>108</v>
      </c>
      <c r="B25" t="s">
        <v>6</v>
      </c>
      <c r="C25" t="s">
        <v>12</v>
      </c>
      <c r="D25">
        <v>46</v>
      </c>
      <c r="E25">
        <v>64</v>
      </c>
      <c r="F25">
        <v>26</v>
      </c>
      <c r="G25">
        <f t="shared" si="0"/>
        <v>1196</v>
      </c>
      <c r="H25" s="1">
        <f t="shared" si="1"/>
        <v>1.3913043478260869</v>
      </c>
    </row>
    <row r="26" spans="1:8" x14ac:dyDescent="0.25">
      <c r="A26">
        <v>101</v>
      </c>
      <c r="B26" t="s">
        <v>6</v>
      </c>
      <c r="C26" t="s">
        <v>13</v>
      </c>
      <c r="D26">
        <v>45</v>
      </c>
      <c r="E26">
        <v>63</v>
      </c>
      <c r="F26">
        <v>26</v>
      </c>
      <c r="G26">
        <f t="shared" si="0"/>
        <v>1170</v>
      </c>
      <c r="H26" s="1">
        <f t="shared" si="1"/>
        <v>1.4</v>
      </c>
    </row>
    <row r="27" spans="1:8" x14ac:dyDescent="0.25">
      <c r="A27">
        <v>102</v>
      </c>
      <c r="B27" t="s">
        <v>8</v>
      </c>
      <c r="C27" t="s">
        <v>13</v>
      </c>
      <c r="D27">
        <v>41</v>
      </c>
      <c r="E27">
        <v>35</v>
      </c>
      <c r="F27">
        <v>22</v>
      </c>
      <c r="G27">
        <f t="shared" si="0"/>
        <v>902</v>
      </c>
      <c r="H27" s="1">
        <f t="shared" si="1"/>
        <v>0.85365853658536583</v>
      </c>
    </row>
    <row r="28" spans="1:8" x14ac:dyDescent="0.25">
      <c r="A28">
        <v>103</v>
      </c>
      <c r="B28" t="s">
        <v>9</v>
      </c>
      <c r="C28" t="s">
        <v>13</v>
      </c>
      <c r="D28">
        <v>40</v>
      </c>
      <c r="E28">
        <v>45</v>
      </c>
      <c r="F28">
        <v>24</v>
      </c>
      <c r="G28">
        <f t="shared" si="0"/>
        <v>960</v>
      </c>
      <c r="H28" s="1">
        <f t="shared" si="1"/>
        <v>1.125</v>
      </c>
    </row>
    <row r="29" spans="1:8" x14ac:dyDescent="0.25">
      <c r="A29">
        <v>104</v>
      </c>
      <c r="B29" t="s">
        <v>10</v>
      </c>
      <c r="C29" t="s">
        <v>13</v>
      </c>
      <c r="D29">
        <v>42</v>
      </c>
      <c r="E29">
        <v>38</v>
      </c>
      <c r="F29">
        <v>28</v>
      </c>
      <c r="G29">
        <f t="shared" si="0"/>
        <v>1176</v>
      </c>
      <c r="H29" s="1">
        <f t="shared" si="1"/>
        <v>0.90476190476190477</v>
      </c>
    </row>
    <row r="30" spans="1:8" x14ac:dyDescent="0.25">
      <c r="A30">
        <v>105</v>
      </c>
      <c r="B30" t="s">
        <v>6</v>
      </c>
      <c r="C30" t="s">
        <v>13</v>
      </c>
      <c r="D30">
        <v>48</v>
      </c>
      <c r="E30">
        <v>69</v>
      </c>
      <c r="F30">
        <v>26</v>
      </c>
      <c r="G30">
        <f t="shared" si="0"/>
        <v>1248</v>
      </c>
      <c r="H30" s="1">
        <f t="shared" si="1"/>
        <v>1.4375</v>
      </c>
    </row>
    <row r="31" spans="1:8" x14ac:dyDescent="0.25">
      <c r="A31">
        <v>106</v>
      </c>
      <c r="B31" t="s">
        <v>9</v>
      </c>
      <c r="C31" t="s">
        <v>13</v>
      </c>
      <c r="D31">
        <v>42</v>
      </c>
      <c r="E31">
        <v>47</v>
      </c>
      <c r="F31">
        <v>24</v>
      </c>
      <c r="G31">
        <f t="shared" si="0"/>
        <v>1008</v>
      </c>
      <c r="H31" s="1">
        <f t="shared" si="1"/>
        <v>1.1190476190476191</v>
      </c>
    </row>
    <row r="32" spans="1:8" x14ac:dyDescent="0.25">
      <c r="A32">
        <v>107</v>
      </c>
      <c r="B32" t="s">
        <v>8</v>
      </c>
      <c r="C32" t="s">
        <v>13</v>
      </c>
      <c r="D32">
        <v>41</v>
      </c>
      <c r="E32">
        <v>33</v>
      </c>
      <c r="F32">
        <v>22</v>
      </c>
      <c r="G32">
        <f t="shared" si="0"/>
        <v>902</v>
      </c>
      <c r="H32" s="1">
        <f t="shared" si="1"/>
        <v>0.80487804878048785</v>
      </c>
    </row>
    <row r="33" spans="1:8" x14ac:dyDescent="0.25">
      <c r="A33">
        <v>108</v>
      </c>
      <c r="B33" t="s">
        <v>6</v>
      </c>
      <c r="C33" t="s">
        <v>13</v>
      </c>
      <c r="D33">
        <v>47</v>
      </c>
      <c r="E33">
        <v>66</v>
      </c>
      <c r="F33">
        <v>26</v>
      </c>
      <c r="G33">
        <f t="shared" si="0"/>
        <v>1222</v>
      </c>
      <c r="H33" s="1">
        <f t="shared" si="1"/>
        <v>1.4042553191489362</v>
      </c>
    </row>
    <row r="34" spans="1:8" x14ac:dyDescent="0.25">
      <c r="A34">
        <v>101</v>
      </c>
      <c r="B34" t="s">
        <v>6</v>
      </c>
      <c r="C34" t="s">
        <v>14</v>
      </c>
      <c r="D34">
        <v>46</v>
      </c>
      <c r="E34">
        <v>64</v>
      </c>
      <c r="F34">
        <v>26</v>
      </c>
      <c r="G34">
        <f t="shared" si="0"/>
        <v>1196</v>
      </c>
      <c r="H34" s="1">
        <f t="shared" si="1"/>
        <v>1.3913043478260869</v>
      </c>
    </row>
    <row r="35" spans="1:8" x14ac:dyDescent="0.25">
      <c r="A35">
        <v>102</v>
      </c>
      <c r="B35" t="s">
        <v>8</v>
      </c>
      <c r="C35" t="s">
        <v>14</v>
      </c>
      <c r="D35">
        <v>40</v>
      </c>
      <c r="E35">
        <v>36</v>
      </c>
      <c r="F35">
        <v>22</v>
      </c>
      <c r="G35">
        <f t="shared" si="0"/>
        <v>880</v>
      </c>
      <c r="H35" s="1">
        <f t="shared" si="1"/>
        <v>0.9</v>
      </c>
    </row>
    <row r="36" spans="1:8" x14ac:dyDescent="0.25">
      <c r="A36">
        <v>103</v>
      </c>
      <c r="B36" t="s">
        <v>9</v>
      </c>
      <c r="C36" t="s">
        <v>14</v>
      </c>
      <c r="D36">
        <v>41</v>
      </c>
      <c r="E36">
        <v>46</v>
      </c>
      <c r="F36">
        <v>24</v>
      </c>
      <c r="G36">
        <f t="shared" si="0"/>
        <v>984</v>
      </c>
      <c r="H36" s="1">
        <f t="shared" si="1"/>
        <v>1.1219512195121952</v>
      </c>
    </row>
    <row r="37" spans="1:8" x14ac:dyDescent="0.25">
      <c r="A37">
        <v>104</v>
      </c>
      <c r="B37" t="s">
        <v>10</v>
      </c>
      <c r="C37" t="s">
        <v>14</v>
      </c>
      <c r="D37">
        <v>43</v>
      </c>
      <c r="E37">
        <v>39</v>
      </c>
      <c r="F37">
        <v>28</v>
      </c>
      <c r="G37">
        <f t="shared" si="0"/>
        <v>1204</v>
      </c>
      <c r="H37" s="1">
        <f t="shared" si="1"/>
        <v>0.90697674418604646</v>
      </c>
    </row>
    <row r="38" spans="1:8" x14ac:dyDescent="0.25">
      <c r="A38">
        <v>105</v>
      </c>
      <c r="B38" t="s">
        <v>6</v>
      </c>
      <c r="C38" t="s">
        <v>14</v>
      </c>
      <c r="D38">
        <v>49</v>
      </c>
      <c r="E38">
        <v>70</v>
      </c>
      <c r="F38">
        <v>26</v>
      </c>
      <c r="G38">
        <f t="shared" si="0"/>
        <v>1274</v>
      </c>
      <c r="H38" s="1">
        <f t="shared" si="1"/>
        <v>1.4285714285714286</v>
      </c>
    </row>
    <row r="39" spans="1:8" x14ac:dyDescent="0.25">
      <c r="A39">
        <v>106</v>
      </c>
      <c r="B39" t="s">
        <v>9</v>
      </c>
      <c r="C39" t="s">
        <v>14</v>
      </c>
      <c r="D39">
        <v>43</v>
      </c>
      <c r="E39">
        <v>48</v>
      </c>
      <c r="F39">
        <v>24</v>
      </c>
      <c r="G39">
        <f t="shared" si="0"/>
        <v>1032</v>
      </c>
      <c r="H39" s="1">
        <f t="shared" si="1"/>
        <v>1.1162790697674418</v>
      </c>
    </row>
    <row r="40" spans="1:8" x14ac:dyDescent="0.25">
      <c r="A40">
        <v>107</v>
      </c>
      <c r="B40" t="s">
        <v>8</v>
      </c>
      <c r="C40" t="s">
        <v>14</v>
      </c>
      <c r="D40">
        <v>42</v>
      </c>
      <c r="E40">
        <v>34</v>
      </c>
      <c r="F40">
        <v>22</v>
      </c>
      <c r="G40">
        <f t="shared" si="0"/>
        <v>924</v>
      </c>
      <c r="H40" s="1">
        <f t="shared" si="1"/>
        <v>0.80952380952380953</v>
      </c>
    </row>
    <row r="41" spans="1:8" x14ac:dyDescent="0.25">
      <c r="A41">
        <v>108</v>
      </c>
      <c r="B41" t="s">
        <v>6</v>
      </c>
      <c r="C41" t="s">
        <v>14</v>
      </c>
      <c r="D41">
        <v>48</v>
      </c>
      <c r="E41">
        <v>68</v>
      </c>
      <c r="F41">
        <v>26</v>
      </c>
      <c r="G41">
        <f t="shared" si="0"/>
        <v>1248</v>
      </c>
      <c r="H41" s="1">
        <f t="shared" si="1"/>
        <v>1.4166666666666667</v>
      </c>
    </row>
    <row r="42" spans="1:8" x14ac:dyDescent="0.25">
      <c r="A42">
        <v>101</v>
      </c>
      <c r="B42" t="s">
        <v>6</v>
      </c>
      <c r="C42" t="s">
        <v>15</v>
      </c>
      <c r="D42">
        <v>47</v>
      </c>
      <c r="E42">
        <v>66</v>
      </c>
      <c r="F42">
        <v>26</v>
      </c>
      <c r="G42">
        <f t="shared" si="0"/>
        <v>1222</v>
      </c>
      <c r="H42" s="1">
        <f t="shared" si="1"/>
        <v>1.4042553191489362</v>
      </c>
    </row>
    <row r="43" spans="1:8" x14ac:dyDescent="0.25">
      <c r="A43">
        <v>102</v>
      </c>
      <c r="B43" t="s">
        <v>8</v>
      </c>
      <c r="C43" t="s">
        <v>15</v>
      </c>
      <c r="D43">
        <v>41</v>
      </c>
      <c r="E43">
        <v>37</v>
      </c>
      <c r="F43">
        <v>22</v>
      </c>
      <c r="G43">
        <f t="shared" si="0"/>
        <v>902</v>
      </c>
      <c r="H43" s="1">
        <f t="shared" si="1"/>
        <v>0.90243902439024393</v>
      </c>
    </row>
    <row r="44" spans="1:8" x14ac:dyDescent="0.25">
      <c r="A44">
        <v>103</v>
      </c>
      <c r="B44" t="s">
        <v>9</v>
      </c>
      <c r="C44" t="s">
        <v>15</v>
      </c>
      <c r="D44">
        <v>42</v>
      </c>
      <c r="E44">
        <v>47</v>
      </c>
      <c r="F44">
        <v>24</v>
      </c>
      <c r="G44">
        <f t="shared" si="0"/>
        <v>1008</v>
      </c>
      <c r="H44" s="1">
        <f t="shared" si="1"/>
        <v>1.1190476190476191</v>
      </c>
    </row>
    <row r="45" spans="1:8" x14ac:dyDescent="0.25">
      <c r="A45">
        <v>104</v>
      </c>
      <c r="B45" t="s">
        <v>10</v>
      </c>
      <c r="C45" t="s">
        <v>15</v>
      </c>
      <c r="D45">
        <v>44</v>
      </c>
      <c r="E45">
        <v>40</v>
      </c>
      <c r="F45">
        <v>28</v>
      </c>
      <c r="G45">
        <f t="shared" si="0"/>
        <v>1232</v>
      </c>
      <c r="H45" s="1">
        <f t="shared" si="1"/>
        <v>0.90909090909090906</v>
      </c>
    </row>
    <row r="46" spans="1:8" x14ac:dyDescent="0.25">
      <c r="A46">
        <v>105</v>
      </c>
      <c r="B46" t="s">
        <v>6</v>
      </c>
      <c r="C46" t="s">
        <v>15</v>
      </c>
      <c r="D46">
        <v>50</v>
      </c>
      <c r="E46">
        <v>72</v>
      </c>
      <c r="F46">
        <v>26</v>
      </c>
      <c r="G46">
        <f t="shared" si="0"/>
        <v>1300</v>
      </c>
      <c r="H46" s="1">
        <f t="shared" si="1"/>
        <v>1.44</v>
      </c>
    </row>
    <row r="47" spans="1:8" x14ac:dyDescent="0.25">
      <c r="A47">
        <v>106</v>
      </c>
      <c r="B47" t="s">
        <v>9</v>
      </c>
      <c r="C47" t="s">
        <v>15</v>
      </c>
      <c r="D47">
        <v>44</v>
      </c>
      <c r="E47">
        <v>49</v>
      </c>
      <c r="F47">
        <v>24</v>
      </c>
      <c r="G47">
        <f t="shared" si="0"/>
        <v>1056</v>
      </c>
      <c r="H47" s="1">
        <f t="shared" si="1"/>
        <v>1.1136363636363635</v>
      </c>
    </row>
    <row r="48" spans="1:8" x14ac:dyDescent="0.25">
      <c r="A48">
        <v>107</v>
      </c>
      <c r="B48" t="s">
        <v>8</v>
      </c>
      <c r="C48" t="s">
        <v>15</v>
      </c>
      <c r="D48">
        <v>41</v>
      </c>
      <c r="E48">
        <v>35</v>
      </c>
      <c r="F48">
        <v>22</v>
      </c>
      <c r="G48">
        <f t="shared" si="0"/>
        <v>902</v>
      </c>
      <c r="H48" s="1">
        <f t="shared" si="1"/>
        <v>0.85365853658536583</v>
      </c>
    </row>
    <row r="49" spans="1:8" x14ac:dyDescent="0.25">
      <c r="A49">
        <v>108</v>
      </c>
      <c r="B49" t="s">
        <v>6</v>
      </c>
      <c r="C49" t="s">
        <v>15</v>
      </c>
      <c r="D49">
        <v>49</v>
      </c>
      <c r="E49">
        <v>69</v>
      </c>
      <c r="F49">
        <v>26</v>
      </c>
      <c r="G49">
        <f t="shared" si="0"/>
        <v>1274</v>
      </c>
      <c r="H49" s="1">
        <f t="shared" si="1"/>
        <v>1.4081632653061225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Insights</vt:lpstr>
      <vt:lpstr>Total Labor Cost by Department</vt:lpstr>
      <vt:lpstr>Productivity</vt:lpstr>
      <vt:lpstr>Operations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Blanco</dc:creator>
  <cp:lastModifiedBy>Carlos Blanco</cp:lastModifiedBy>
  <dcterms:created xsi:type="dcterms:W3CDTF">2026-01-24T15:42:51Z</dcterms:created>
  <dcterms:modified xsi:type="dcterms:W3CDTF">2026-01-24T16:28:37Z</dcterms:modified>
</cp:coreProperties>
</file>